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 of Expenses" sheetId="1" state="visible" r:id="rId3"/>
    <sheet name="Welcome Reception" sheetId="2" state="visible" r:id="rId4"/>
    <sheet name="Gusaba" sheetId="3" state="visible" r:id="rId5"/>
    <sheet name="Wedding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<sst xmlns="http://schemas.openxmlformats.org/spreadsheetml/2006/main" count="70" uniqueCount="39">
  <si>
    <t xml:space="preserve">Event</t>
  </si>
  <si>
    <t xml:space="preserve">Estimated Budget</t>
  </si>
  <si>
    <t xml:space="preserve">Welcome</t>
  </si>
  <si>
    <t xml:space="preserve">Gusaba</t>
  </si>
  <si>
    <t xml:space="preserve">Wedding</t>
  </si>
  <si>
    <t xml:space="preserve">Total</t>
  </si>
  <si>
    <t xml:space="preserve">Item</t>
  </si>
  <si>
    <t xml:space="preserve">Status</t>
  </si>
  <si>
    <t xml:space="preserve">Estimated Budget (N/A if paid for)</t>
  </si>
  <si>
    <t xml:space="preserve">Notes</t>
  </si>
  <si>
    <t xml:space="preserve">Venue</t>
  </si>
  <si>
    <t xml:space="preserve">Not acquired</t>
  </si>
  <si>
    <t xml:space="preserve">Need recommendations for a nice venue in Kigali that accommodates 100 people</t>
  </si>
  <si>
    <t xml:space="preserve">Food</t>
  </si>
  <si>
    <t xml:space="preserve">Light food</t>
  </si>
  <si>
    <t xml:space="preserve">Drinks</t>
  </si>
  <si>
    <t xml:space="preserve">Liquor</t>
  </si>
  <si>
    <t xml:space="preserve">Guest Transportation</t>
  </si>
  <si>
    <t xml:space="preserve">Executive busses from 2 hotels in Kigali.</t>
  </si>
  <si>
    <t xml:space="preserve">Acquired</t>
  </si>
  <si>
    <t xml:space="preserve">Jade Green</t>
  </si>
  <si>
    <t xml:space="preserve">Decor</t>
  </si>
  <si>
    <t xml:space="preserve">In Progress</t>
  </si>
  <si>
    <t xml:space="preserve">Centerpiece Design</t>
  </si>
  <si>
    <t xml:space="preserve">Executive busses</t>
  </si>
  <si>
    <t xml:space="preserve">AV</t>
  </si>
  <si>
    <t xml:space="preserve">Dancers</t>
  </si>
  <si>
    <t xml:space="preserve">MC</t>
  </si>
  <si>
    <t xml:space="preserve">Hair/Makeup Artists</t>
  </si>
  <si>
    <t xml:space="preserve">Jalia; includes décor</t>
  </si>
  <si>
    <t xml:space="preserve">Dinner</t>
  </si>
  <si>
    <t xml:space="preserve">AV/Dance Floor</t>
  </si>
  <si>
    <t xml:space="preserve">For cocktail hour/reception</t>
  </si>
  <si>
    <t xml:space="preserve">DJ</t>
  </si>
  <si>
    <t xml:space="preserve">Guest transportation</t>
  </si>
  <si>
    <t xml:space="preserve">Executive busses from hotel (maybe PTS)</t>
  </si>
  <si>
    <t xml:space="preserve">Hair/makeup</t>
  </si>
  <si>
    <t xml:space="preserve">Photographer</t>
  </si>
  <si>
    <t xml:space="preserve">Covers all three days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</si>
</sst>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" activeCellId="1" sqref="C2:C5 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n">
        <f aca="false">SUM('Welcome Reception'!C2:C5)</f>
        <v>2666666.66666667</v>
      </c>
    </row>
    <row r="3" customFormat="false" ht="12.8" hidden="false" customHeight="false" outlineLevel="0" collapsed="false">
      <c r="A3" s="2" t="s">
        <v>3</v>
      </c>
      <c r="B3" s="2" t="n">
        <f aca="false">SUM(Gusaba!C2:C9)</f>
        <v>8256000</v>
      </c>
    </row>
    <row r="4" customFormat="false" ht="12.8" hidden="false" customHeight="false" outlineLevel="0" collapsed="false">
      <c r="A4" s="2" t="s">
        <v>4</v>
      </c>
      <c r="B4" s="2" t="n">
        <f aca="false">SUM(Wedding!C2:C9)</f>
        <v>23160000</v>
      </c>
    </row>
    <row r="5" customFormat="false" ht="12.8" hidden="false" customHeight="false" outlineLevel="0" collapsed="false">
      <c r="A5" s="2" t="s">
        <v>5</v>
      </c>
      <c r="B5" s="2" t="n">
        <f aca="false">SUM(B2:B4)</f>
        <v>34082666.6666667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" activeCellId="0" sqref="C2: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</row>
    <row r="2" customFormat="false" ht="12.8" hidden="false" customHeight="false" outlineLevel="0" collapsed="false">
      <c r="A2" s="2" t="s">
        <v>10</v>
      </c>
      <c r="B2" s="2" t="s">
        <v>11</v>
      </c>
      <c r="C2" s="2" t="n">
        <f aca="false">0.8*1000000</f>
        <v>800000</v>
      </c>
      <c r="D2" s="2" t="s">
        <v>12</v>
      </c>
    </row>
    <row r="3" customFormat="false" ht="12.8" hidden="false" customHeight="false" outlineLevel="0" collapsed="false">
      <c r="A3" s="2" t="s">
        <v>13</v>
      </c>
      <c r="B3" s="2" t="s">
        <v>11</v>
      </c>
      <c r="C3" s="2" t="n">
        <f aca="false">0.8*1000000</f>
        <v>800000</v>
      </c>
      <c r="D3" s="2" t="s">
        <v>14</v>
      </c>
    </row>
    <row r="4" customFormat="false" ht="12.8" hidden="false" customHeight="false" outlineLevel="0" collapsed="false">
      <c r="A4" s="2" t="s">
        <v>15</v>
      </c>
      <c r="B4" s="2" t="s">
        <v>11</v>
      </c>
      <c r="C4" s="2" t="n">
        <f aca="false">0.8*1000000</f>
        <v>800000</v>
      </c>
      <c r="D4" s="2" t="s">
        <v>16</v>
      </c>
    </row>
    <row r="5" customFormat="false" ht="12.8" hidden="false" customHeight="false" outlineLevel="0" collapsed="false">
      <c r="A5" s="2" t="s">
        <v>17</v>
      </c>
      <c r="B5" s="2" t="s">
        <v>11</v>
      </c>
      <c r="C5" s="2" t="n">
        <f aca="false">800000/3</f>
        <v>266666.666666667</v>
      </c>
      <c r="D5" s="2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2" activeCellId="1" sqref="C2:C5 F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</row>
    <row r="2" customFormat="false" ht="12.8" hidden="false" customHeight="false" outlineLevel="0" collapsed="false">
      <c r="A2" s="2" t="s">
        <v>10</v>
      </c>
      <c r="B2" s="2" t="s">
        <v>19</v>
      </c>
      <c r="C2" s="2" t="n">
        <v>2800000</v>
      </c>
      <c r="D2" s="2" t="s">
        <v>20</v>
      </c>
    </row>
    <row r="3" customFormat="false" ht="12.8" hidden="false" customHeight="false" outlineLevel="0" collapsed="false">
      <c r="A3" s="2" t="s">
        <v>21</v>
      </c>
      <c r="B3" s="2" t="s">
        <v>22</v>
      </c>
      <c r="C3" s="2" t="n">
        <v>2800000</v>
      </c>
      <c r="D3" s="2" t="s">
        <v>23</v>
      </c>
    </row>
    <row r="4" customFormat="false" ht="12.8" hidden="false" customHeight="false" outlineLevel="0" collapsed="false">
      <c r="A4" s="2" t="s">
        <v>17</v>
      </c>
      <c r="B4" s="2" t="s">
        <v>11</v>
      </c>
      <c r="C4" s="2" t="n">
        <v>640000</v>
      </c>
      <c r="D4" s="2" t="s">
        <v>24</v>
      </c>
    </row>
    <row r="5" customFormat="false" ht="12.8" hidden="false" customHeight="false" outlineLevel="0" collapsed="false">
      <c r="A5" s="2" t="s">
        <v>25</v>
      </c>
      <c r="B5" s="2" t="s">
        <v>11</v>
      </c>
      <c r="C5" s="2" t="n">
        <v>560000</v>
      </c>
    </row>
    <row r="6" customFormat="false" ht="12.8" hidden="false" customHeight="false" outlineLevel="0" collapsed="false">
      <c r="A6" s="2" t="s">
        <v>15</v>
      </c>
      <c r="B6" s="2" t="s">
        <v>11</v>
      </c>
      <c r="C6" s="2" t="n">
        <v>560000</v>
      </c>
      <c r="D6" s="2" t="s">
        <v>16</v>
      </c>
    </row>
    <row r="7" customFormat="false" ht="12.8" hidden="false" customHeight="false" outlineLevel="0" collapsed="false">
      <c r="A7" s="2" t="s">
        <v>26</v>
      </c>
      <c r="B7" s="2" t="s">
        <v>11</v>
      </c>
      <c r="C7" s="2" t="n">
        <v>336000</v>
      </c>
    </row>
    <row r="8" customFormat="false" ht="12.8" hidden="false" customHeight="false" outlineLevel="0" collapsed="false">
      <c r="A8" s="2" t="s">
        <v>27</v>
      </c>
      <c r="B8" s="2" t="s">
        <v>11</v>
      </c>
      <c r="C8" s="2" t="n">
        <v>336000</v>
      </c>
    </row>
    <row r="9" customFormat="false" ht="12.8" hidden="false" customHeight="false" outlineLevel="0" collapsed="false">
      <c r="A9" s="2" t="s">
        <v>28</v>
      </c>
      <c r="B9" s="2" t="s">
        <v>11</v>
      </c>
      <c r="C9" s="2" t="n">
        <v>224000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" activeCellId="0" sqref="C2: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</row>
    <row r="2" customFormat="false" ht="12.8" hidden="false" customHeight="false" outlineLevel="0" collapsed="false">
      <c r="A2" s="2" t="s">
        <v>10</v>
      </c>
      <c r="B2" s="2" t="s">
        <v>19</v>
      </c>
      <c r="C2" s="2" t="n">
        <v>9500000</v>
      </c>
      <c r="D2" s="2" t="s">
        <v>29</v>
      </c>
    </row>
    <row r="3" customFormat="false" ht="12.8" hidden="false" customHeight="false" outlineLevel="0" collapsed="false">
      <c r="A3" s="2" t="s">
        <v>30</v>
      </c>
      <c r="B3" s="2" t="s">
        <v>22</v>
      </c>
      <c r="C3" s="2" t="n">
        <v>6000000</v>
      </c>
    </row>
    <row r="4" customFormat="false" ht="12.8" hidden="false" customHeight="false" outlineLevel="0" collapsed="false">
      <c r="A4" s="2" t="s">
        <v>31</v>
      </c>
      <c r="B4" s="2" t="s">
        <v>11</v>
      </c>
      <c r="C4" s="2" t="n">
        <v>1400000</v>
      </c>
    </row>
    <row r="5" customFormat="false" ht="12.8" hidden="false" customHeight="false" outlineLevel="0" collapsed="false">
      <c r="A5" s="2" t="s">
        <v>15</v>
      </c>
      <c r="B5" s="2" t="s">
        <v>11</v>
      </c>
      <c r="C5" s="2" t="n">
        <v>1400000</v>
      </c>
      <c r="D5" s="2" t="s">
        <v>32</v>
      </c>
    </row>
    <row r="6" customFormat="false" ht="12.8" hidden="false" customHeight="false" outlineLevel="0" collapsed="false">
      <c r="A6" s="2" t="s">
        <v>33</v>
      </c>
      <c r="B6" s="2" t="s">
        <v>11</v>
      </c>
      <c r="C6" s="2" t="n">
        <v>980000</v>
      </c>
    </row>
    <row r="7" customFormat="false" ht="12.8" hidden="false" customHeight="false" outlineLevel="0" collapsed="false">
      <c r="A7" s="2" t="s">
        <v>34</v>
      </c>
      <c r="B7" s="2" t="s">
        <v>11</v>
      </c>
      <c r="C7" s="2" t="n">
        <v>800000</v>
      </c>
      <c r="D7" s="2" t="s">
        <v>35</v>
      </c>
    </row>
    <row r="8" customFormat="false" ht="12.8" hidden="false" customHeight="false" outlineLevel="0" collapsed="false">
      <c r="A8" s="2" t="s">
        <v>36</v>
      </c>
      <c r="B8" s="2" t="s">
        <v>11</v>
      </c>
      <c r="C8" s="2" t="n">
        <v>280000</v>
      </c>
    </row>
    <row r="9" customFormat="false" ht="12.8" hidden="false" customHeight="false" outlineLevel="0" collapsed="false">
      <c r="A9" s="2" t="s">
        <v>37</v>
      </c>
      <c r="B9" s="2" t="s">
        <v>19</v>
      </c>
      <c r="C9" s="2" t="n">
        <v>2800000</v>
      </c>
      <c r="D9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2025-10-17T16:39:29Z</dcterms:created>
  <dc:creator/>
  <dc:description/>
  <dc:language>en-US</dc:language>
  <cp:lastModifiedBy/>
  <dcterms:modified xsi:type="dcterms:W3CDTF">2025-10-19T17:10:25Z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